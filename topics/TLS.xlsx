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oday\"/>
    </mc:Choice>
  </mc:AlternateContent>
  <xr:revisionPtr revIDLastSave="0" documentId="8_{BB3F3396-AC2D-4566-AF13-26796A8B2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rkusz1" sheetId="2" r:id="rId2"/>
  </sheets>
  <definedNames>
    <definedName name="solver_adj" localSheetId="0" hidden="1">Sheet1!$B$23:$B$25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Sheet1!$D$22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B29" i="1"/>
  <c r="B2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 l="1"/>
</calcChain>
</file>

<file path=xl/sharedStrings.xml><?xml version="1.0" encoding="utf-8"?>
<sst xmlns="http://schemas.openxmlformats.org/spreadsheetml/2006/main" count="12" uniqueCount="11">
  <si>
    <t>X1</t>
  </si>
  <si>
    <t>X2</t>
  </si>
  <si>
    <t>a</t>
  </si>
  <si>
    <t>b</t>
  </si>
  <si>
    <t>c</t>
  </si>
  <si>
    <t>odleglosc</t>
  </si>
  <si>
    <t>Y2</t>
  </si>
  <si>
    <t>ax+by+c = 0</t>
  </si>
  <si>
    <t>y = 1/b * (-ax-c)</t>
  </si>
  <si>
    <t>`-a/b</t>
  </si>
  <si>
    <t>`-c/b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</si>
</sst>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b/>
      <sz val="9"/>
      <name val="Arial"/>
      <family val="2"/>
      <charset val="238"/>
    </font>
    <font>
      <b/>
      <i/>
      <sz val="9"/>
      <name val="Arial"/>
      <family val="2"/>
      <charset val="238"/>
    </font>
    <font>
      <b/>
      <sz val="9"/>
      <name val="Arial"/>
      <family val="2"/>
      <charset val="238"/>
    </font>
    <font>
      <sz val="12"/>
      <name val="Times New Roman"/>
      <family val="1"/>
      <charset val="238"/>
    </font>
    <font>
      <sz val="12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" fontId="3" fillId="0" borderId="6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1" fontId="1" fillId="0" borderId="10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1" fontId="1" fillId="0" borderId="14" xfId="0" applyNumberFormat="1" applyFont="1" applyBorder="1" applyAlignment="1">
      <alignment horizontal="center" vertical="top"/>
    </xf>
    <xf numFmtId="1" fontId="1" fillId="0" borderId="16" xfId="0" applyNumberFormat="1" applyFont="1" applyBorder="1" applyAlignment="1">
      <alignment horizontal="center" vertical="top"/>
    </xf>
    <xf numFmtId="164" fontId="1" fillId="0" borderId="16" xfId="0" applyNumberFormat="1" applyFont="1" applyBorder="1" applyAlignment="1">
      <alignment horizontal="center" vertical="top"/>
    </xf>
    <xf numFmtId="164" fontId="1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4" fontId="5" fillId="0" borderId="1" xfId="0" applyNumberFormat="1" applyFont="1" applyBorder="1" applyAlignment="1">
      <alignment horizontal="center" vertical="top"/>
    </xf>
    <xf numFmtId="4" fontId="3" fillId="0" borderId="3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0.0</c:formatCode>
                <c:ptCount val="20"/>
                <c:pt idx="0" formatCode="0">
                  <c:v>232.5</c:v>
                </c:pt>
                <c:pt idx="1">
                  <c:v>235.9</c:v>
                </c:pt>
                <c:pt idx="2" formatCode="General">
                  <c:v>238.2</c:v>
                </c:pt>
                <c:pt idx="3">
                  <c:v>247.1</c:v>
                </c:pt>
                <c:pt idx="4" formatCode="General">
                  <c:v>237.2</c:v>
                </c:pt>
                <c:pt idx="5" formatCode="General">
                  <c:v>231.1</c:v>
                </c:pt>
                <c:pt idx="6" formatCode="General">
                  <c:v>247.3</c:v>
                </c:pt>
                <c:pt idx="7" formatCode="0">
                  <c:v>239.6</c:v>
                </c:pt>
                <c:pt idx="8" formatCode="0">
                  <c:v>236</c:v>
                </c:pt>
                <c:pt idx="9" formatCode="General">
                  <c:v>237.9</c:v>
                </c:pt>
                <c:pt idx="10">
                  <c:v>236</c:v>
                </c:pt>
                <c:pt idx="11" formatCode="General">
                  <c:v>232.8</c:v>
                </c:pt>
                <c:pt idx="12" formatCode="0">
                  <c:v>238.9</c:v>
                </c:pt>
                <c:pt idx="13">
                  <c:v>232.9</c:v>
                </c:pt>
                <c:pt idx="14">
                  <c:v>234.7</c:v>
                </c:pt>
                <c:pt idx="15">
                  <c:v>239.2</c:v>
                </c:pt>
                <c:pt idx="16">
                  <c:v>242</c:v>
                </c:pt>
                <c:pt idx="17">
                  <c:v>239.1</c:v>
                </c:pt>
                <c:pt idx="18" formatCode="General">
                  <c:v>246.5</c:v>
                </c:pt>
                <c:pt idx="19" formatCode="0">
                  <c:v>238.4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85.3</c:v>
                </c:pt>
                <c:pt idx="1">
                  <c:v>87.6</c:v>
                </c:pt>
                <c:pt idx="2">
                  <c:v>86.3</c:v>
                </c:pt>
                <c:pt idx="3">
                  <c:v>88.9</c:v>
                </c:pt>
                <c:pt idx="4" formatCode="0">
                  <c:v>91</c:v>
                </c:pt>
                <c:pt idx="5">
                  <c:v>82.8</c:v>
                </c:pt>
                <c:pt idx="6" formatCode="0">
                  <c:v>94.4</c:v>
                </c:pt>
                <c:pt idx="7">
                  <c:v>90.5</c:v>
                </c:pt>
                <c:pt idx="8">
                  <c:v>83.6</c:v>
                </c:pt>
                <c:pt idx="9">
                  <c:v>83.4</c:v>
                </c:pt>
                <c:pt idx="10">
                  <c:v>89.5</c:v>
                </c:pt>
                <c:pt idx="11">
                  <c:v>86.3</c:v>
                </c:pt>
                <c:pt idx="12">
                  <c:v>84.1</c:v>
                </c:pt>
                <c:pt idx="13">
                  <c:v>82.7</c:v>
                </c:pt>
                <c:pt idx="14">
                  <c:v>82.7</c:v>
                </c:pt>
                <c:pt idx="15">
                  <c:v>84.8</c:v>
                </c:pt>
                <c:pt idx="16">
                  <c:v>85.9</c:v>
                </c:pt>
                <c:pt idx="17">
                  <c:v>86.5</c:v>
                </c:pt>
                <c:pt idx="18">
                  <c:v>85.6</c:v>
                </c:pt>
                <c:pt idx="19">
                  <c:v>84.8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1-4A84-B15A-AA9CA249925B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Sheet1!$C$2:$C$21</c:f>
              <c:numCache>
                <c:formatCode>0.0</c:formatCode>
                <c:ptCount val="20"/>
                <c:pt idx="0" formatCode="0">
                  <c:v>232.5</c:v>
                </c:pt>
                <c:pt idx="1">
                  <c:v>235.9</c:v>
                </c:pt>
                <c:pt idx="2" formatCode="General">
                  <c:v>238.2</c:v>
                </c:pt>
                <c:pt idx="3">
                  <c:v>247.1</c:v>
                </c:pt>
                <c:pt idx="4" formatCode="General">
                  <c:v>237.2</c:v>
                </c:pt>
                <c:pt idx="5" formatCode="General">
                  <c:v>231.1</c:v>
                </c:pt>
                <c:pt idx="6" formatCode="General">
                  <c:v>247.3</c:v>
                </c:pt>
                <c:pt idx="7" formatCode="0">
                  <c:v>239.6</c:v>
                </c:pt>
                <c:pt idx="8" formatCode="0">
                  <c:v>236</c:v>
                </c:pt>
                <c:pt idx="9" formatCode="General">
                  <c:v>237.9</c:v>
                </c:pt>
                <c:pt idx="10">
                  <c:v>236</c:v>
                </c:pt>
                <c:pt idx="11" formatCode="General">
                  <c:v>232.8</c:v>
                </c:pt>
                <c:pt idx="12" formatCode="0">
                  <c:v>238.9</c:v>
                </c:pt>
                <c:pt idx="13">
                  <c:v>232.9</c:v>
                </c:pt>
                <c:pt idx="14">
                  <c:v>234.7</c:v>
                </c:pt>
                <c:pt idx="15">
                  <c:v>239.2</c:v>
                </c:pt>
                <c:pt idx="16">
                  <c:v>242</c:v>
                </c:pt>
                <c:pt idx="17">
                  <c:v>239.1</c:v>
                </c:pt>
                <c:pt idx="18" formatCode="General">
                  <c:v>246.5</c:v>
                </c:pt>
                <c:pt idx="19" formatCode="0">
                  <c:v>238.4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83.630274208751004</c:v>
                </c:pt>
                <c:pt idx="1">
                  <c:v>84.857467357492723</c:v>
                </c:pt>
                <c:pt idx="2">
                  <c:v>85.687627428700353</c:v>
                </c:pt>
                <c:pt idx="3">
                  <c:v>88.899985965112521</c:v>
                </c:pt>
                <c:pt idx="4">
                  <c:v>85.326688267305727</c:v>
                </c:pt>
                <c:pt idx="5">
                  <c:v>83.124959382798522</c:v>
                </c:pt>
                <c:pt idx="6">
                  <c:v>88.972173797391449</c:v>
                </c:pt>
                <c:pt idx="7">
                  <c:v>86.192942254652834</c:v>
                </c:pt>
                <c:pt idx="8">
                  <c:v>84.893561273632187</c:v>
                </c:pt>
                <c:pt idx="9">
                  <c:v>85.579345680281975</c:v>
                </c:pt>
                <c:pt idx="10">
                  <c:v>84.893561273632187</c:v>
                </c:pt>
                <c:pt idx="11">
                  <c:v>83.738555957169382</c:v>
                </c:pt>
                <c:pt idx="12">
                  <c:v>85.940284841676601</c:v>
                </c:pt>
                <c:pt idx="13">
                  <c:v>83.774649873308846</c:v>
                </c:pt>
                <c:pt idx="14">
                  <c:v>84.424340363819169</c:v>
                </c:pt>
                <c:pt idx="15">
                  <c:v>86.048566590094978</c:v>
                </c:pt>
                <c:pt idx="16">
                  <c:v>87.059196241999928</c:v>
                </c:pt>
                <c:pt idx="17">
                  <c:v>86.012472673955514</c:v>
                </c:pt>
                <c:pt idx="18">
                  <c:v>88.683422468275737</c:v>
                </c:pt>
                <c:pt idx="19">
                  <c:v>85.759815260979281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B1-4A84-B15A-AA9CA2499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97231"/>
        <c:axId val="1401096751"/>
      </c:scatterChart>
      <c:valAx>
        <c:axId val="14010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1096751"/>
        <c:crosses val="autoZero"/>
        <c:crossBetween val="midCat"/>
      </c:valAx>
      <c:valAx>
        <c:axId val="14010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109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168275</xdr:rowOff>
    </xdr:from>
    <xdr:to>
      <xdr:col>14</xdr:col>
      <xdr:colOff>161925</xdr:colOff>
      <xdr:row>18</xdr:row>
      <xdr:rowOff>15875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BD68649-794F-8267-420B-CDAE18501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469900</xdr:colOff>
      <xdr:row>12</xdr:row>
      <xdr:rowOff>101600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A0060E9-1BB3-431E-AF0A-60825274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223500" cy="200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23" sqref="B23:B25"/>
    </sheetView>
  </sheetViews>
  <sheetFormatPr defaultRowHeight="13.2" x14ac:dyDescent="0.25"/>
  <cols>
    <col min="1" max="1" width="9.21875" style="17" bestFit="1" customWidth="1"/>
    <col min="2" max="2" width="7.5546875" style="17"/>
    <col min="3" max="3" width="8.5546875" style="21" customWidth="1"/>
    <col min="4" max="4" width="8.77734375" style="17"/>
  </cols>
  <sheetData>
    <row r="1" spans="1:5" ht="15.6" x14ac:dyDescent="0.25">
      <c r="A1" s="18" t="s">
        <v>0</v>
      </c>
      <c r="B1" s="18" t="s">
        <v>1</v>
      </c>
      <c r="C1" s="18" t="s">
        <v>0</v>
      </c>
      <c r="D1" s="19" t="s">
        <v>5</v>
      </c>
      <c r="E1" s="24" t="s">
        <v>6</v>
      </c>
    </row>
    <row r="2" spans="1:5" x14ac:dyDescent="0.25">
      <c r="A2" s="1">
        <v>232.5</v>
      </c>
      <c r="B2" s="2">
        <v>85.3</v>
      </c>
      <c r="C2" s="1">
        <v>232.5</v>
      </c>
      <c r="D2" s="20">
        <f t="shared" ref="D2:D21" si="0">ABS($B$23*A2+$B$24*B2+$B$25)/SQRT($B$23^2+$B$24^2)</f>
        <v>1.5705533567182797</v>
      </c>
      <c r="E2">
        <f>A2*$B$28+$B$29</f>
        <v>83.630274208751004</v>
      </c>
    </row>
    <row r="3" spans="1:5" x14ac:dyDescent="0.25">
      <c r="A3" s="3">
        <v>235.9</v>
      </c>
      <c r="B3" s="4">
        <v>87.6</v>
      </c>
      <c r="C3" s="3">
        <v>235.9</v>
      </c>
      <c r="D3" s="20">
        <f t="shared" si="0"/>
        <v>2.5796414418305549</v>
      </c>
      <c r="E3">
        <f t="shared" ref="E3:E21" si="1">A3*$B$28+$B$29</f>
        <v>84.857467357492723</v>
      </c>
    </row>
    <row r="4" spans="1:5" x14ac:dyDescent="0.25">
      <c r="A4" s="6">
        <v>238.2</v>
      </c>
      <c r="B4" s="2">
        <v>86.3</v>
      </c>
      <c r="C4" s="6">
        <v>238.2</v>
      </c>
      <c r="D4" s="20">
        <f t="shared" si="0"/>
        <v>0.57600104307992439</v>
      </c>
      <c r="E4">
        <f t="shared" si="1"/>
        <v>85.687627428700353</v>
      </c>
    </row>
    <row r="5" spans="1:5" x14ac:dyDescent="0.25">
      <c r="A5" s="3">
        <v>247.1</v>
      </c>
      <c r="B5" s="7">
        <v>88.9</v>
      </c>
      <c r="C5" s="3">
        <v>247.1</v>
      </c>
      <c r="D5" s="20">
        <f t="shared" si="0"/>
        <v>1.3201293175736E-5</v>
      </c>
      <c r="E5">
        <f t="shared" si="1"/>
        <v>88.899985965112521</v>
      </c>
    </row>
    <row r="6" spans="1:5" x14ac:dyDescent="0.25">
      <c r="A6" s="8">
        <v>237.2</v>
      </c>
      <c r="B6" s="9">
        <v>91</v>
      </c>
      <c r="C6" s="8">
        <v>237.2</v>
      </c>
      <c r="D6" s="20">
        <f t="shared" si="0"/>
        <v>5.3363485382992399</v>
      </c>
      <c r="E6">
        <f t="shared" si="1"/>
        <v>85.326688267305727</v>
      </c>
    </row>
    <row r="7" spans="1:5" x14ac:dyDescent="0.25">
      <c r="A7" s="10">
        <v>231.1</v>
      </c>
      <c r="B7" s="11">
        <v>82.8</v>
      </c>
      <c r="C7" s="10">
        <v>231.1</v>
      </c>
      <c r="D7" s="20">
        <f t="shared" si="0"/>
        <v>0.30565860102665732</v>
      </c>
      <c r="E7">
        <f t="shared" si="1"/>
        <v>83.124959382798522</v>
      </c>
    </row>
    <row r="8" spans="1:5" x14ac:dyDescent="0.25">
      <c r="A8" s="12">
        <v>247.3</v>
      </c>
      <c r="B8" s="5">
        <v>94.4</v>
      </c>
      <c r="C8" s="12">
        <v>247.3</v>
      </c>
      <c r="D8" s="20">
        <f t="shared" si="0"/>
        <v>5.1054434847134953</v>
      </c>
      <c r="E8">
        <f t="shared" si="1"/>
        <v>88.972173797391449</v>
      </c>
    </row>
    <row r="9" spans="1:5" x14ac:dyDescent="0.25">
      <c r="A9" s="13">
        <v>239.6</v>
      </c>
      <c r="B9" s="4">
        <v>90.5</v>
      </c>
      <c r="C9" s="13">
        <v>239.6</v>
      </c>
      <c r="D9" s="20">
        <f t="shared" si="0"/>
        <v>4.0512424465064036</v>
      </c>
      <c r="E9">
        <f t="shared" si="1"/>
        <v>86.192942254652834</v>
      </c>
    </row>
    <row r="10" spans="1:5" x14ac:dyDescent="0.25">
      <c r="A10" s="14">
        <v>236</v>
      </c>
      <c r="B10" s="11">
        <v>83.6</v>
      </c>
      <c r="C10" s="14">
        <v>236</v>
      </c>
      <c r="D10" s="20">
        <f t="shared" si="0"/>
        <v>1.2167309213712711</v>
      </c>
      <c r="E10">
        <f t="shared" si="1"/>
        <v>84.893561273632187</v>
      </c>
    </row>
    <row r="11" spans="1:5" x14ac:dyDescent="0.25">
      <c r="A11" s="6">
        <v>237.9</v>
      </c>
      <c r="B11" s="7">
        <v>83.4</v>
      </c>
      <c r="C11" s="6">
        <v>237.9</v>
      </c>
      <c r="D11" s="20">
        <f t="shared" si="0"/>
        <v>2.0499046559351215</v>
      </c>
      <c r="E11">
        <f t="shared" si="1"/>
        <v>85.579345680281975</v>
      </c>
    </row>
    <row r="12" spans="1:5" x14ac:dyDescent="0.25">
      <c r="A12" s="3">
        <v>236</v>
      </c>
      <c r="B12" s="4">
        <v>89.5</v>
      </c>
      <c r="C12" s="3">
        <v>236</v>
      </c>
      <c r="D12" s="20">
        <f t="shared" si="0"/>
        <v>4.3328418606999595</v>
      </c>
      <c r="E12">
        <f t="shared" si="1"/>
        <v>84.893561273632187</v>
      </c>
    </row>
    <row r="13" spans="1:5" x14ac:dyDescent="0.25">
      <c r="A13" s="12">
        <v>232.8</v>
      </c>
      <c r="B13" s="2">
        <v>86.3</v>
      </c>
      <c r="C13" s="12">
        <v>232.8</v>
      </c>
      <c r="D13" s="20">
        <f t="shared" si="0"/>
        <v>2.409308498795141</v>
      </c>
      <c r="E13">
        <f t="shared" si="1"/>
        <v>83.738555957169382</v>
      </c>
    </row>
    <row r="14" spans="1:5" x14ac:dyDescent="0.25">
      <c r="A14" s="1">
        <v>238.9</v>
      </c>
      <c r="B14" s="7">
        <v>84.1</v>
      </c>
      <c r="C14" s="1">
        <v>238.9</v>
      </c>
      <c r="D14" s="20">
        <f t="shared" si="0"/>
        <v>1.7309821472248548</v>
      </c>
      <c r="E14">
        <f t="shared" si="1"/>
        <v>85.940284841676601</v>
      </c>
    </row>
    <row r="15" spans="1:5" x14ac:dyDescent="0.25">
      <c r="A15" s="3">
        <v>232.9</v>
      </c>
      <c r="B15" s="4">
        <v>82.7</v>
      </c>
      <c r="C15" s="3">
        <v>232.9</v>
      </c>
      <c r="D15" s="20">
        <f t="shared" si="0"/>
        <v>1.0108216418933977</v>
      </c>
      <c r="E15">
        <f t="shared" si="1"/>
        <v>83.774649873308846</v>
      </c>
    </row>
    <row r="16" spans="1:5" x14ac:dyDescent="0.25">
      <c r="A16" s="3">
        <v>234.7</v>
      </c>
      <c r="B16" s="11">
        <v>82.7</v>
      </c>
      <c r="C16" s="3">
        <v>234.7</v>
      </c>
      <c r="D16" s="20">
        <f t="shared" si="0"/>
        <v>1.6219241271317928</v>
      </c>
      <c r="E16">
        <f t="shared" si="1"/>
        <v>84.424340363819169</v>
      </c>
    </row>
    <row r="17" spans="1:5" x14ac:dyDescent="0.25">
      <c r="A17" s="15">
        <v>239.2</v>
      </c>
      <c r="B17" s="2">
        <v>84.8</v>
      </c>
      <c r="C17" s="15">
        <v>239.2</v>
      </c>
      <c r="D17" s="20">
        <f t="shared" si="0"/>
        <v>1.1744086720329672</v>
      </c>
      <c r="E17">
        <f t="shared" si="1"/>
        <v>86.048566590094978</v>
      </c>
    </row>
    <row r="18" spans="1:5" x14ac:dyDescent="0.25">
      <c r="A18" s="16">
        <v>242</v>
      </c>
      <c r="B18" s="4">
        <v>85.9</v>
      </c>
      <c r="C18" s="16">
        <v>242</v>
      </c>
      <c r="D18" s="20">
        <f t="shared" si="0"/>
        <v>1.0903464260477924</v>
      </c>
      <c r="E18">
        <f t="shared" si="1"/>
        <v>87.059196241999928</v>
      </c>
    </row>
    <row r="19" spans="1:5" x14ac:dyDescent="0.25">
      <c r="A19" s="16">
        <v>239.1</v>
      </c>
      <c r="B19" s="7">
        <v>86.5</v>
      </c>
      <c r="C19" s="16">
        <v>239.1</v>
      </c>
      <c r="D19" s="20">
        <f t="shared" si="0"/>
        <v>0.45857091171737052</v>
      </c>
      <c r="E19">
        <f t="shared" si="1"/>
        <v>86.012472673955514</v>
      </c>
    </row>
    <row r="20" spans="1:5" x14ac:dyDescent="0.25">
      <c r="A20" s="12">
        <v>246.5</v>
      </c>
      <c r="B20" s="7">
        <v>85.6</v>
      </c>
      <c r="C20" s="12">
        <v>246.5</v>
      </c>
      <c r="D20" s="20">
        <f t="shared" si="0"/>
        <v>2.9002843060288002</v>
      </c>
      <c r="E20">
        <f t="shared" si="1"/>
        <v>88.683422468275737</v>
      </c>
    </row>
    <row r="21" spans="1:5" x14ac:dyDescent="0.25">
      <c r="A21" s="13">
        <v>238.4</v>
      </c>
      <c r="B21" s="2">
        <v>84.8</v>
      </c>
      <c r="C21" s="13">
        <v>238.4</v>
      </c>
      <c r="D21" s="20">
        <f t="shared" si="0"/>
        <v>0.90280756748258173</v>
      </c>
      <c r="E21">
        <f t="shared" si="1"/>
        <v>85.759815260979281</v>
      </c>
    </row>
    <row r="22" spans="1:5" x14ac:dyDescent="0.25">
      <c r="A22" s="13"/>
      <c r="D22" s="21">
        <f>SUM(D2:D21)</f>
        <v>40.423833849828789</v>
      </c>
    </row>
    <row r="23" spans="1:5" x14ac:dyDescent="0.25">
      <c r="A23" s="22" t="s">
        <v>2</v>
      </c>
      <c r="B23" s="17">
        <v>-1.2151865319482706</v>
      </c>
    </row>
    <row r="24" spans="1:5" x14ac:dyDescent="0.25">
      <c r="A24" s="23" t="s">
        <v>3</v>
      </c>
      <c r="B24" s="17">
        <v>3.3667350676300662</v>
      </c>
    </row>
    <row r="25" spans="1:5" x14ac:dyDescent="0.25">
      <c r="A25" s="23" t="s">
        <v>4</v>
      </c>
      <c r="B25" s="17">
        <v>0.96989178385268759</v>
      </c>
    </row>
    <row r="26" spans="1:5" x14ac:dyDescent="0.25">
      <c r="A26" s="23" t="s">
        <v>7</v>
      </c>
    </row>
    <row r="27" spans="1:5" x14ac:dyDescent="0.25">
      <c r="A27" s="25" t="s">
        <v>8</v>
      </c>
    </row>
    <row r="28" spans="1:5" x14ac:dyDescent="0.25">
      <c r="A28" s="23" t="s">
        <v>9</v>
      </c>
      <c r="B28" s="17">
        <f>-B23/B24</f>
        <v>0.36093916139462456</v>
      </c>
    </row>
    <row r="29" spans="1:5" x14ac:dyDescent="0.25">
      <c r="A29" s="23" t="s">
        <v>10</v>
      </c>
      <c r="B29" s="17">
        <f>-B25/B24</f>
        <v>-0.28808081549921899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486B-6F62-4911-A777-1C63A435DA63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Wyrobek</dc:creator>
  <cp:lastModifiedBy>Joanna Wyrobek</cp:lastModifiedBy>
  <dcterms:created xsi:type="dcterms:W3CDTF">2024-03-27T11:37:10Z</dcterms:created>
  <dcterms:modified xsi:type="dcterms:W3CDTF">2025-12-08T07:03:59Z</dcterms:modified>
</cp:coreProperties>
</file>